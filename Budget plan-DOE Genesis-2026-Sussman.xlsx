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8585\Dropbox (Personal)\My PC (LAPTOP-U5B26ISD)\Downloads\2025TAX\"/>
    </mc:Choice>
  </mc:AlternateContent>
  <xr:revisionPtr revIDLastSave="0" documentId="8_{2BC6AA18-25EE-4217-BD3E-9E12CEB4CB0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1" l="1"/>
  <c r="B36" i="1" s="1"/>
  <c r="B34" i="1"/>
  <c r="B14" i="1"/>
  <c r="B13" i="1"/>
  <c r="B19" i="1" s="1"/>
  <c r="B10" i="1"/>
  <c r="B18" i="1"/>
  <c r="B15" i="1" l="1"/>
  <c r="B20" i="1"/>
  <c r="B21" i="1" s="1"/>
  <c r="B37" i="1"/>
  <c r="B30" i="1"/>
  <c r="B22" i="1" l="1"/>
  <c r="B40" i="1" s="1"/>
  <c r="B41" i="1" s="1"/>
  <c r="B42" i="1" l="1"/>
  <c r="B44" i="1" s="1"/>
</calcChain>
</file>

<file path=xl/sharedStrings.xml><?xml version="1.0" encoding="utf-8"?>
<sst xmlns="http://schemas.openxmlformats.org/spreadsheetml/2006/main" count="39" uniqueCount="34">
  <si>
    <t xml:space="preserve">Domestic Travel </t>
  </si>
  <si>
    <t>International Travel</t>
  </si>
  <si>
    <t>Total budget</t>
  </si>
  <si>
    <t>Total other</t>
  </si>
  <si>
    <t xml:space="preserve">Year-1 </t>
    <phoneticPr fontId="2" type="noConversion"/>
  </si>
  <si>
    <r>
      <rPr>
        <sz val="11"/>
        <color rgb="FFFF0000"/>
        <rFont val="Calibri"/>
        <family val="2"/>
        <scheme val="minor"/>
      </rPr>
      <t>Fringe</t>
    </r>
    <r>
      <rPr>
        <sz val="11"/>
        <color theme="1"/>
        <rFont val="Calibri"/>
        <family val="2"/>
        <scheme val="minor"/>
      </rPr>
      <t xml:space="preserve"> </t>
    </r>
  </si>
  <si>
    <t>Total Salaries+Fringe</t>
  </si>
  <si>
    <t>Travel</t>
  </si>
  <si>
    <t>Total Travel</t>
  </si>
  <si>
    <t>Others</t>
  </si>
  <si>
    <t>Fringe sub-total</t>
  </si>
  <si>
    <t>Direct cost</t>
  </si>
  <si>
    <t>Senior Personnel</t>
  </si>
  <si>
    <t>Other Personnel</t>
  </si>
  <si>
    <t xml:space="preserve">Salary </t>
  </si>
  <si>
    <t>Postdoc (1.0 FTE)</t>
  </si>
  <si>
    <t>co-PI: Kourosh Shoele</t>
  </si>
  <si>
    <t>Postdoc Fringe (1.0 FTE), (27.7%)</t>
  </si>
  <si>
    <t>Gradudate Students (6.4%)</t>
  </si>
  <si>
    <t>7/1/2026-3/31/2027 (9 months)</t>
  </si>
  <si>
    <t>PI and Co-PIs (35%)</t>
  </si>
  <si>
    <t>Subcontract (MTDC to first $50,000)</t>
  </si>
  <si>
    <t>Tuition (no indirect cost)</t>
  </si>
  <si>
    <t>Subtotal</t>
  </si>
  <si>
    <t>PI: Mark Sussman (DOE Genesis Phase-I proposal - 2026)</t>
  </si>
  <si>
    <t>Using AI to assist high fidelity multiphase flow modeling in making atomization and spray predictions.</t>
  </si>
  <si>
    <t>PI: Mark Sussman (1.0 mo)</t>
  </si>
  <si>
    <t>Indirect cost (58.5%)</t>
  </si>
  <si>
    <t>2 Ph.D. students</t>
  </si>
  <si>
    <t>Direct</t>
  </si>
  <si>
    <t>Indirect</t>
  </si>
  <si>
    <t>DC - Tuition-(Subcontract-50000)</t>
  </si>
  <si>
    <t>Computer Services (RCC 0.01$ NCU/hr +memory)</t>
  </si>
  <si>
    <t>Capital Equip. (Computers)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</si>
</sst>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$&quot;* #,##0_);_(&quot;$&quot;* \(#,##0\);_(&quot;$&quot;* &quot;-&quot;_);_(@_)"/>
    <numFmt numFmtId="43" formatCode="_(* #,##0.00_);_(* \(#,##0.00\);_(* &quot;-&quot;??_);_(@_)"/>
    <numFmt numFmtId="164" formatCode="_(&quot;$&quot;* #,##0.00_);_(&quot;$&quot;* \(#,##0.00\);_(&quot;$&quot;* &quot;-&quot;_);_(@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4"/>
      <name val="Geneva"/>
    </font>
    <font>
      <i/>
      <sz val="11"/>
      <name val="Times New Roman"/>
      <family val="1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1F4E7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8FAAD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0B4"/>
        <bgColor indexed="64"/>
      </patternFill>
    </fill>
  </fills>
  <borders count="1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/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thin">
        <color indexed="64"/>
      </right>
      <top style="thin">
        <color rgb="FFD9D9D9"/>
      </top>
      <bottom style="thin">
        <color rgb="FFD9D9D9"/>
      </bottom>
      <diagonal/>
    </border>
    <border>
      <left/>
      <right style="thin">
        <color indexed="64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/>
      <top style="medium">
        <color auto="1"/>
      </top>
      <bottom style="thin">
        <color rgb="FFD9D9D9"/>
      </bottom>
      <diagonal/>
    </border>
    <border>
      <left/>
      <right/>
      <top style="medium">
        <color auto="1"/>
      </top>
      <bottom style="thin">
        <color rgb="FFD9D9D9"/>
      </bottom>
      <diagonal/>
    </border>
    <border>
      <left style="medium">
        <color indexed="64"/>
      </left>
      <right style="thin">
        <color indexed="64"/>
      </right>
      <top style="thin">
        <color rgb="FFD9D9D9"/>
      </top>
      <bottom style="medium">
        <color rgb="FF1F4E79"/>
      </bottom>
      <diagonal/>
    </border>
    <border>
      <left style="thin">
        <color indexed="64"/>
      </left>
      <right style="thin">
        <color indexed="64"/>
      </right>
      <top style="thin">
        <color rgb="FFD9D9D9"/>
      </top>
      <bottom style="medium">
        <color rgb="FF1F4E79"/>
      </bottom>
      <diagonal/>
    </border>
    <border>
      <left/>
      <right/>
      <top style="thin">
        <color rgb="FFD9D9D9"/>
      </top>
      <bottom style="medium">
        <color rgb="FF1F4E79"/>
      </bottom>
      <diagonal/>
    </border>
    <border>
      <left style="medium">
        <color indexed="64"/>
      </left>
      <right style="thin">
        <color rgb="FFB2B2B2"/>
      </right>
      <top style="thin">
        <color rgb="FFD9D9D9"/>
      </top>
      <bottom style="thin">
        <color rgb="FFD9D9D9"/>
      </bottom>
      <diagonal/>
    </border>
    <border>
      <left/>
      <right style="medium">
        <color auto="1"/>
      </right>
      <top style="medium">
        <color auto="1"/>
      </top>
      <bottom style="thin">
        <color rgb="FFD9D9D9"/>
      </bottom>
      <diagonal/>
    </border>
    <border>
      <left/>
      <right style="medium">
        <color auto="1"/>
      </right>
      <top style="thin">
        <color rgb="FFD9D9D9"/>
      </top>
      <bottom style="thin">
        <color rgb="FFD9D9D9"/>
      </bottom>
      <diagonal/>
    </border>
    <border>
      <left/>
      <right style="medium">
        <color auto="1"/>
      </right>
      <top style="thin">
        <color rgb="FFD9D9D9"/>
      </top>
      <bottom style="medium">
        <color rgb="FF1F4E79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1" applyNumberFormat="0" applyFont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94">
    <xf numFmtId="0" fontId="0" fillId="0" borderId="0" xfId="0"/>
    <xf numFmtId="164" fontId="0" fillId="0" borderId="0" xfId="0" applyNumberFormat="1"/>
    <xf numFmtId="42" fontId="0" fillId="0" borderId="0" xfId="0" applyNumberFormat="1"/>
    <xf numFmtId="164" fontId="5" fillId="0" borderId="0" xfId="0" applyNumberFormat="1" applyFont="1" applyAlignment="1">
      <alignment horizontal="left" vertical="top"/>
    </xf>
    <xf numFmtId="164" fontId="7" fillId="8" borderId="2" xfId="0" applyNumberFormat="1" applyFont="1" applyFill="1" applyBorder="1" applyAlignment="1">
      <alignment horizontal="left"/>
    </xf>
    <xf numFmtId="42" fontId="11" fillId="8" borderId="4" xfId="2" applyNumberFormat="1" applyFont="1" applyFill="1" applyBorder="1" applyAlignment="1">
      <alignment horizontal="right" vertical="center"/>
    </xf>
    <xf numFmtId="164" fontId="8" fillId="9" borderId="3" xfId="3" applyNumberFormat="1" applyFont="1" applyFill="1" applyBorder="1" applyAlignment="1">
      <alignment horizontal="right"/>
    </xf>
    <xf numFmtId="164" fontId="7" fillId="10" borderId="3" xfId="3" applyNumberFormat="1" applyFont="1" applyFill="1" applyBorder="1" applyAlignment="1">
      <alignment horizontal="right"/>
    </xf>
    <xf numFmtId="164" fontId="0" fillId="0" borderId="6" xfId="0" applyNumberFormat="1" applyBorder="1" applyAlignment="1">
      <alignment horizontal="left"/>
    </xf>
    <xf numFmtId="42" fontId="0" fillId="0" borderId="3" xfId="0" applyNumberFormat="1" applyBorder="1" applyAlignment="1">
      <alignment horizontal="right"/>
    </xf>
    <xf numFmtId="164" fontId="0" fillId="0" borderId="2" xfId="0" applyNumberFormat="1" applyBorder="1" applyAlignment="1">
      <alignment horizontal="left"/>
    </xf>
    <xf numFmtId="164" fontId="7" fillId="11" borderId="2" xfId="0" applyNumberFormat="1" applyFont="1" applyFill="1" applyBorder="1" applyAlignment="1">
      <alignment horizontal="left"/>
    </xf>
    <xf numFmtId="42" fontId="7" fillId="11" borderId="3" xfId="0" applyNumberFormat="1" applyFont="1" applyFill="1" applyBorder="1" applyAlignment="1">
      <alignment horizontal="right"/>
    </xf>
    <xf numFmtId="164" fontId="6" fillId="10" borderId="2" xfId="0" applyNumberFormat="1" applyFont="1" applyFill="1" applyBorder="1" applyAlignment="1">
      <alignment horizontal="left"/>
    </xf>
    <xf numFmtId="164" fontId="7" fillId="10" borderId="3" xfId="0" applyNumberFormat="1" applyFont="1" applyFill="1" applyBorder="1" applyAlignment="1">
      <alignment horizontal="right"/>
    </xf>
    <xf numFmtId="164" fontId="5" fillId="0" borderId="2" xfId="0" applyNumberFormat="1" applyFont="1" applyBorder="1" applyAlignment="1">
      <alignment horizontal="left"/>
    </xf>
    <xf numFmtId="42" fontId="0" fillId="0" borderId="4" xfId="0" applyNumberFormat="1" applyBorder="1" applyAlignment="1">
      <alignment horizontal="right"/>
    </xf>
    <xf numFmtId="164" fontId="7" fillId="11" borderId="6" xfId="0" applyNumberFormat="1" applyFont="1" applyFill="1" applyBorder="1" applyAlignment="1">
      <alignment horizontal="left"/>
    </xf>
    <xf numFmtId="42" fontId="7" fillId="11" borderId="4" xfId="0" applyNumberFormat="1" applyFont="1" applyFill="1" applyBorder="1" applyAlignment="1">
      <alignment horizontal="right"/>
    </xf>
    <xf numFmtId="164" fontId="13" fillId="11" borderId="6" xfId="5" applyNumberFormat="1" applyFont="1" applyFill="1" applyBorder="1" applyAlignment="1">
      <alignment horizontal="left"/>
    </xf>
    <xf numFmtId="42" fontId="7" fillId="11" borderId="4" xfId="5" applyNumberFormat="1" applyFont="1" applyFill="1" applyBorder="1" applyAlignment="1">
      <alignment horizontal="right"/>
    </xf>
    <xf numFmtId="164" fontId="7" fillId="12" borderId="6" xfId="4" applyNumberFormat="1" applyFont="1" applyFill="1" applyBorder="1" applyAlignment="1">
      <alignment horizontal="left"/>
    </xf>
    <xf numFmtId="42" fontId="7" fillId="12" borderId="4" xfId="4" applyNumberFormat="1" applyFont="1" applyFill="1" applyBorder="1" applyAlignment="1">
      <alignment horizontal="right"/>
    </xf>
    <xf numFmtId="42" fontId="3" fillId="2" borderId="4" xfId="2" applyNumberFormat="1" applyBorder="1" applyAlignment="1">
      <alignment horizontal="right" vertical="center"/>
    </xf>
    <xf numFmtId="42" fontId="7" fillId="10" borderId="4" xfId="1" applyNumberFormat="1" applyFont="1" applyFill="1" applyBorder="1" applyAlignment="1">
      <alignment horizontal="right"/>
    </xf>
    <xf numFmtId="42" fontId="0" fillId="0" borderId="3" xfId="1" applyNumberFormat="1" applyFont="1" applyBorder="1" applyAlignment="1">
      <alignment horizontal="right"/>
    </xf>
    <xf numFmtId="42" fontId="11" fillId="10" borderId="4" xfId="2" applyNumberFormat="1" applyFont="1" applyFill="1" applyBorder="1" applyAlignment="1">
      <alignment horizontal="right" vertical="center"/>
    </xf>
    <xf numFmtId="164" fontId="7" fillId="11" borderId="6" xfId="4" applyNumberFormat="1" applyFont="1" applyFill="1" applyBorder="1" applyAlignment="1">
      <alignment horizontal="left"/>
    </xf>
    <xf numFmtId="42" fontId="7" fillId="11" borderId="4" xfId="4" applyNumberFormat="1" applyFont="1" applyFill="1" applyBorder="1" applyAlignment="1">
      <alignment horizontal="right"/>
    </xf>
    <xf numFmtId="164" fontId="7" fillId="10" borderId="6" xfId="0" applyNumberFormat="1" applyFont="1" applyFill="1" applyBorder="1" applyAlignment="1">
      <alignment horizontal="left"/>
    </xf>
    <xf numFmtId="42" fontId="0" fillId="0" borderId="4" xfId="1" applyNumberFormat="1" applyFont="1" applyBorder="1" applyAlignment="1">
      <alignment horizontal="right"/>
    </xf>
    <xf numFmtId="42" fontId="0" fillId="0" borderId="7" xfId="1" applyNumberFormat="1" applyFont="1" applyBorder="1" applyAlignment="1">
      <alignment horizontal="right"/>
    </xf>
    <xf numFmtId="42" fontId="7" fillId="11" borderId="6" xfId="4" applyNumberFormat="1" applyFont="1" applyFill="1" applyBorder="1" applyAlignment="1">
      <alignment horizontal="right"/>
    </xf>
    <xf numFmtId="42" fontId="8" fillId="9" borderId="4" xfId="2" applyNumberFormat="1" applyFont="1" applyFill="1" applyBorder="1" applyAlignment="1">
      <alignment horizontal="right" vertical="center"/>
    </xf>
    <xf numFmtId="42" fontId="7" fillId="8" borderId="4" xfId="1" applyNumberFormat="1" applyFont="1" applyFill="1" applyBorder="1" applyAlignment="1">
      <alignment horizontal="right"/>
    </xf>
    <xf numFmtId="164" fontId="14" fillId="7" borderId="10" xfId="6" applyNumberFormat="1" applyFont="1" applyFill="1" applyBorder="1" applyAlignment="1">
      <alignment horizontal="left"/>
    </xf>
    <xf numFmtId="42" fontId="14" fillId="7" borderId="11" xfId="6" applyNumberFormat="1" applyFont="1" applyFill="1" applyBorder="1" applyAlignment="1">
      <alignment horizontal="right"/>
    </xf>
    <xf numFmtId="164" fontId="8" fillId="9" borderId="2" xfId="3" applyNumberFormat="1" applyFont="1" applyFill="1" applyBorder="1" applyAlignment="1">
      <alignment horizontal="left"/>
    </xf>
    <xf numFmtId="164" fontId="6" fillId="10" borderId="2" xfId="3" applyNumberFormat="1" applyFont="1" applyFill="1" applyBorder="1" applyAlignment="1">
      <alignment horizontal="left"/>
    </xf>
    <xf numFmtId="164" fontId="7" fillId="10" borderId="2" xfId="3" applyNumberFormat="1" applyFont="1" applyFill="1" applyBorder="1" applyAlignment="1">
      <alignment horizontal="left"/>
    </xf>
    <xf numFmtId="164" fontId="12" fillId="10" borderId="13" xfId="3" applyNumberFormat="1" applyFont="1" applyFill="1" applyBorder="1" applyAlignment="1">
      <alignment horizontal="left"/>
    </xf>
    <xf numFmtId="164" fontId="7" fillId="10" borderId="2" xfId="0" applyNumberFormat="1" applyFont="1" applyFill="1" applyBorder="1" applyAlignment="1">
      <alignment horizontal="left"/>
    </xf>
    <xf numFmtId="164" fontId="4" fillId="3" borderId="13" xfId="3" applyNumberFormat="1" applyFont="1" applyBorder="1" applyAlignment="1">
      <alignment horizontal="left"/>
    </xf>
    <xf numFmtId="164" fontId="8" fillId="9" borderId="2" xfId="0" applyNumberFormat="1" applyFont="1" applyFill="1" applyBorder="1" applyAlignment="1">
      <alignment horizontal="left"/>
    </xf>
    <xf numFmtId="164" fontId="12" fillId="8" borderId="13" xfId="3" applyNumberFormat="1" applyFont="1" applyFill="1" applyBorder="1" applyAlignment="1">
      <alignment horizontal="left"/>
    </xf>
    <xf numFmtId="164" fontId="9" fillId="0" borderId="9" xfId="0" applyNumberFormat="1" applyFont="1" applyFill="1" applyBorder="1"/>
    <xf numFmtId="164" fontId="9" fillId="0" borderId="14" xfId="0" applyNumberFormat="1" applyFont="1" applyFill="1" applyBorder="1"/>
    <xf numFmtId="164" fontId="10" fillId="0" borderId="3" xfId="0" applyNumberFormat="1" applyFont="1" applyFill="1" applyBorder="1"/>
    <xf numFmtId="164" fontId="10" fillId="0" borderId="15" xfId="0" applyNumberFormat="1" applyFont="1" applyFill="1" applyBorder="1"/>
    <xf numFmtId="164" fontId="7" fillId="0" borderId="3" xfId="0" applyNumberFormat="1" applyFont="1" applyFill="1" applyBorder="1"/>
    <xf numFmtId="164" fontId="7" fillId="0" borderId="15" xfId="0" applyNumberFormat="1" applyFont="1" applyFill="1" applyBorder="1"/>
    <xf numFmtId="164" fontId="8" fillId="0" borderId="5" xfId="0" applyNumberFormat="1" applyFont="1" applyFill="1" applyBorder="1"/>
    <xf numFmtId="164" fontId="8" fillId="0" borderId="3" xfId="0" applyNumberFormat="1" applyFont="1" applyFill="1" applyBorder="1"/>
    <xf numFmtId="164" fontId="8" fillId="0" borderId="15" xfId="0" applyNumberFormat="1" applyFont="1" applyFill="1" applyBorder="1"/>
    <xf numFmtId="164" fontId="12" fillId="0" borderId="5" xfId="0" applyNumberFormat="1" applyFont="1" applyFill="1" applyBorder="1" applyAlignment="1">
      <alignment horizontal="left" vertical="top"/>
    </xf>
    <xf numFmtId="164" fontId="12" fillId="0" borderId="3" xfId="0" applyNumberFormat="1" applyFont="1" applyFill="1" applyBorder="1" applyAlignment="1">
      <alignment horizontal="left" vertical="top"/>
    </xf>
    <xf numFmtId="164" fontId="12" fillId="0" borderId="15" xfId="0" applyNumberFormat="1" applyFont="1" applyFill="1" applyBorder="1" applyAlignment="1">
      <alignment horizontal="left" vertical="top"/>
    </xf>
    <xf numFmtId="164" fontId="4" fillId="0" borderId="5" xfId="0" applyNumberFormat="1" applyFont="1" applyFill="1" applyBorder="1" applyAlignment="1">
      <alignment horizontal="left" vertical="top"/>
    </xf>
    <xf numFmtId="164" fontId="4" fillId="0" borderId="3" xfId="0" applyNumberFormat="1" applyFont="1" applyFill="1" applyBorder="1" applyAlignment="1">
      <alignment horizontal="left" vertical="top"/>
    </xf>
    <xf numFmtId="164" fontId="4" fillId="0" borderId="15" xfId="0" applyNumberFormat="1" applyFont="1" applyFill="1" applyBorder="1" applyAlignment="1">
      <alignment horizontal="left" vertical="top"/>
    </xf>
    <xf numFmtId="164" fontId="4" fillId="0" borderId="5" xfId="0" applyNumberFormat="1" applyFont="1" applyFill="1" applyBorder="1" applyAlignment="1">
      <alignment horizontal="left" vertical="top"/>
    </xf>
    <xf numFmtId="164" fontId="4" fillId="0" borderId="3" xfId="0" applyNumberFormat="1" applyFont="1" applyFill="1" applyBorder="1" applyAlignment="1">
      <alignment horizontal="left" vertical="top"/>
    </xf>
    <xf numFmtId="164" fontId="4" fillId="0" borderId="15" xfId="0" applyNumberFormat="1" applyFont="1" applyFill="1" applyBorder="1" applyAlignment="1">
      <alignment horizontal="left" vertical="top"/>
    </xf>
    <xf numFmtId="164" fontId="12" fillId="0" borderId="5" xfId="0" applyNumberFormat="1" applyFont="1" applyFill="1" applyBorder="1" applyAlignment="1">
      <alignment horizontal="left" vertical="top"/>
    </xf>
    <xf numFmtId="164" fontId="12" fillId="0" borderId="3" xfId="0" applyNumberFormat="1" applyFont="1" applyFill="1" applyBorder="1" applyAlignment="1">
      <alignment horizontal="left" vertical="top"/>
    </xf>
    <xf numFmtId="164" fontId="12" fillId="0" borderId="15" xfId="0" applyNumberFormat="1" applyFont="1" applyFill="1" applyBorder="1" applyAlignment="1">
      <alignment horizontal="left" vertical="top"/>
    </xf>
    <xf numFmtId="164" fontId="0" fillId="0" borderId="5" xfId="0" applyNumberFormat="1" applyFill="1" applyBorder="1" applyAlignment="1">
      <alignment horizontal="left" vertical="top"/>
    </xf>
    <xf numFmtId="164" fontId="0" fillId="0" borderId="3" xfId="0" applyNumberFormat="1" applyFill="1" applyBorder="1" applyAlignment="1">
      <alignment horizontal="left" vertical="top"/>
    </xf>
    <xf numFmtId="164" fontId="0" fillId="0" borderId="15" xfId="0" applyNumberFormat="1" applyFill="1" applyBorder="1" applyAlignment="1">
      <alignment horizontal="left" vertical="top"/>
    </xf>
    <xf numFmtId="164" fontId="7" fillId="0" borderId="5" xfId="0" applyNumberFormat="1" applyFont="1" applyFill="1" applyBorder="1" applyAlignment="1">
      <alignment horizontal="left" vertical="top"/>
    </xf>
    <xf numFmtId="164" fontId="7" fillId="0" borderId="3" xfId="0" applyNumberFormat="1" applyFont="1" applyFill="1" applyBorder="1" applyAlignment="1">
      <alignment horizontal="left" vertical="top"/>
    </xf>
    <xf numFmtId="164" fontId="7" fillId="0" borderId="15" xfId="0" applyNumberFormat="1" applyFont="1" applyFill="1" applyBorder="1" applyAlignment="1">
      <alignment horizontal="left" vertical="top"/>
    </xf>
    <xf numFmtId="164" fontId="7" fillId="0" borderId="5" xfId="0" applyNumberFormat="1" applyFont="1" applyFill="1" applyBorder="1" applyAlignment="1">
      <alignment horizontal="left" vertical="top"/>
    </xf>
    <xf numFmtId="164" fontId="7" fillId="0" borderId="3" xfId="0" applyNumberFormat="1" applyFont="1" applyFill="1" applyBorder="1" applyAlignment="1">
      <alignment horizontal="left" vertical="top"/>
    </xf>
    <xf numFmtId="164" fontId="7" fillId="0" borderId="15" xfId="0" applyNumberFormat="1" applyFont="1" applyFill="1" applyBorder="1" applyAlignment="1">
      <alignment horizontal="left" vertical="top"/>
    </xf>
    <xf numFmtId="164" fontId="0" fillId="0" borderId="5" xfId="0" applyNumberFormat="1" applyFill="1" applyBorder="1" applyAlignment="1">
      <alignment horizontal="left" vertical="top"/>
    </xf>
    <xf numFmtId="164" fontId="0" fillId="0" borderId="3" xfId="0" applyNumberFormat="1" applyFill="1" applyBorder="1" applyAlignment="1">
      <alignment horizontal="left" vertical="top"/>
    </xf>
    <xf numFmtId="164" fontId="0" fillId="0" borderId="15" xfId="0" applyNumberFormat="1" applyFill="1" applyBorder="1" applyAlignment="1">
      <alignment horizontal="left" vertical="top"/>
    </xf>
    <xf numFmtId="164" fontId="0" fillId="0" borderId="3" xfId="0" applyNumberFormat="1" applyFill="1" applyBorder="1"/>
    <xf numFmtId="164" fontId="0" fillId="0" borderId="15" xfId="0" applyNumberFormat="1" applyFill="1" applyBorder="1"/>
    <xf numFmtId="164" fontId="12" fillId="0" borderId="5" xfId="0" applyNumberFormat="1" applyFont="1" applyFill="1" applyBorder="1"/>
    <xf numFmtId="164" fontId="12" fillId="0" borderId="3" xfId="0" applyNumberFormat="1" applyFont="1" applyFill="1" applyBorder="1"/>
    <xf numFmtId="164" fontId="12" fillId="0" borderId="15" xfId="0" applyNumberFormat="1" applyFont="1" applyFill="1" applyBorder="1"/>
    <xf numFmtId="164" fontId="8" fillId="0" borderId="3" xfId="0" applyNumberFormat="1" applyFont="1" applyFill="1" applyBorder="1"/>
    <xf numFmtId="164" fontId="8" fillId="0" borderId="15" xfId="0" applyNumberFormat="1" applyFont="1" applyFill="1" applyBorder="1"/>
    <xf numFmtId="164" fontId="14" fillId="0" borderId="12" xfId="0" applyNumberFormat="1" applyFont="1" applyFill="1" applyBorder="1"/>
    <xf numFmtId="164" fontId="14" fillId="0" borderId="16" xfId="0" applyNumberFormat="1" applyFont="1" applyFill="1" applyBorder="1"/>
    <xf numFmtId="164" fontId="0" fillId="0" borderId="0" xfId="0" applyNumberFormat="1" applyFill="1"/>
    <xf numFmtId="164" fontId="15" fillId="0" borderId="8" xfId="0" applyNumberFormat="1" applyFont="1" applyFill="1" applyBorder="1" applyAlignment="1">
      <alignment horizontal="left"/>
    </xf>
    <xf numFmtId="164" fontId="15" fillId="0" borderId="9" xfId="0" applyNumberFormat="1" applyFont="1" applyFill="1" applyBorder="1" applyAlignment="1">
      <alignment horizontal="right"/>
    </xf>
    <xf numFmtId="164" fontId="16" fillId="0" borderId="2" xfId="0" applyNumberFormat="1" applyFont="1" applyFill="1" applyBorder="1" applyAlignment="1">
      <alignment horizontal="left"/>
    </xf>
    <xf numFmtId="164" fontId="17" fillId="0" borderId="3" xfId="0" applyNumberFormat="1" applyFont="1" applyFill="1" applyBorder="1" applyAlignment="1">
      <alignment horizontal="right"/>
    </xf>
    <xf numFmtId="164" fontId="18" fillId="0" borderId="2" xfId="0" applyNumberFormat="1" applyFont="1" applyFill="1" applyBorder="1" applyAlignment="1">
      <alignment horizontal="left"/>
    </xf>
    <xf numFmtId="42" fontId="18" fillId="0" borderId="3" xfId="0" applyNumberFormat="1" applyFont="1" applyFill="1" applyBorder="1" applyAlignment="1">
      <alignment horizontal="right"/>
    </xf>
  </cellXfs>
  <cellStyles count="7">
    <cellStyle name="20% - Accent2" xfId="4" builtinId="34"/>
    <cellStyle name="20% - Accent3" xfId="5" builtinId="38"/>
    <cellStyle name="40% - Accent5" xfId="6" builtinId="47"/>
    <cellStyle name="Comma" xfId="1" builtinId="3"/>
    <cellStyle name="Good" xfId="2" builtinId="26"/>
    <cellStyle name="Normal" xfId="0" builtinId="0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zoomScale="70" zoomScaleNormal="70" workbookViewId="0">
      <selection activeCell="J24" sqref="J24"/>
    </sheetView>
  </sheetViews>
  <sheetFormatPr defaultColWidth="9.1796875" defaultRowHeight="14.5"/>
  <cols>
    <col min="1" max="1" width="43.453125" style="1" bestFit="1" customWidth="1"/>
    <col min="2" max="2" width="20.54296875" style="2" customWidth="1"/>
    <col min="3" max="3" width="11.08984375" style="87" bestFit="1" customWidth="1"/>
    <col min="4" max="4" width="12.08984375" style="87" bestFit="1" customWidth="1"/>
    <col min="5" max="5" width="11.08984375" style="87" bestFit="1" customWidth="1"/>
    <col min="6" max="6" width="11.08984375" style="1" bestFit="1" customWidth="1"/>
    <col min="7" max="16384" width="9.1796875" style="1"/>
  </cols>
  <sheetData>
    <row r="1" spans="1:6" ht="18.5">
      <c r="A1" s="88" t="s">
        <v>24</v>
      </c>
      <c r="B1" s="89"/>
      <c r="C1" s="45"/>
      <c r="D1" s="45"/>
      <c r="E1" s="46"/>
    </row>
    <row r="2" spans="1:6">
      <c r="A2" s="90" t="s">
        <v>25</v>
      </c>
      <c r="B2" s="91"/>
      <c r="C2" s="47"/>
      <c r="D2" s="47"/>
      <c r="E2" s="48"/>
    </row>
    <row r="3" spans="1:6">
      <c r="A3" s="92" t="s">
        <v>19</v>
      </c>
      <c r="B3" s="93"/>
      <c r="C3" s="49"/>
      <c r="D3" s="49"/>
      <c r="E3" s="50"/>
    </row>
    <row r="4" spans="1:6">
      <c r="A4" s="4"/>
      <c r="B4" s="5" t="s">
        <v>4</v>
      </c>
      <c r="C4" s="49"/>
      <c r="D4" s="49"/>
      <c r="E4" s="50"/>
    </row>
    <row r="5" spans="1:6">
      <c r="A5" s="37" t="s">
        <v>14</v>
      </c>
      <c r="B5" s="6"/>
      <c r="C5" s="51"/>
      <c r="D5" s="52"/>
      <c r="E5" s="53"/>
    </row>
    <row r="6" spans="1:6">
      <c r="A6" s="38" t="s">
        <v>12</v>
      </c>
      <c r="B6" s="7"/>
      <c r="C6" s="54"/>
      <c r="D6" s="55"/>
      <c r="E6" s="56"/>
    </row>
    <row r="7" spans="1:6">
      <c r="A7" s="8" t="s">
        <v>26</v>
      </c>
      <c r="B7" s="9">
        <v>17000</v>
      </c>
      <c r="C7" s="57"/>
      <c r="D7" s="58"/>
      <c r="E7" s="59"/>
      <c r="F7" s="3"/>
    </row>
    <row r="8" spans="1:6">
      <c r="A8" s="10" t="s">
        <v>16</v>
      </c>
      <c r="B8" s="9">
        <v>14918</v>
      </c>
      <c r="C8" s="60"/>
      <c r="D8" s="61"/>
      <c r="E8" s="62"/>
    </row>
    <row r="9" spans="1:6">
      <c r="A9" s="10"/>
      <c r="B9" s="9"/>
      <c r="C9" s="60"/>
      <c r="D9" s="61"/>
      <c r="E9" s="62"/>
    </row>
    <row r="10" spans="1:6">
      <c r="A10" s="11" t="s">
        <v>23</v>
      </c>
      <c r="B10" s="12">
        <f>SUM(B7:B9)</f>
        <v>31918</v>
      </c>
      <c r="C10" s="63"/>
      <c r="D10" s="64"/>
      <c r="E10" s="65"/>
    </row>
    <row r="11" spans="1:6">
      <c r="A11" s="10"/>
      <c r="B11" s="9"/>
      <c r="C11" s="60"/>
      <c r="D11" s="61"/>
      <c r="E11" s="62"/>
    </row>
    <row r="12" spans="1:6">
      <c r="A12" s="13" t="s">
        <v>13</v>
      </c>
      <c r="B12" s="14"/>
      <c r="C12" s="54"/>
      <c r="D12" s="55"/>
      <c r="E12" s="56"/>
    </row>
    <row r="13" spans="1:6">
      <c r="A13" s="15" t="s">
        <v>15</v>
      </c>
      <c r="B13" s="9">
        <f>65000*(9/12)</f>
        <v>48750</v>
      </c>
      <c r="C13" s="60"/>
      <c r="D13" s="61"/>
      <c r="E13" s="62"/>
    </row>
    <row r="14" spans="1:6">
      <c r="A14" s="8" t="s">
        <v>28</v>
      </c>
      <c r="B14" s="16">
        <f>2*(28000*9/12)</f>
        <v>42000</v>
      </c>
      <c r="C14" s="66"/>
      <c r="D14" s="67"/>
      <c r="E14" s="68"/>
    </row>
    <row r="15" spans="1:6">
      <c r="A15" s="17" t="s">
        <v>23</v>
      </c>
      <c r="B15" s="18">
        <f>SUM(B13:B14)</f>
        <v>90750</v>
      </c>
      <c r="C15" s="69"/>
      <c r="D15" s="70"/>
      <c r="E15" s="71"/>
    </row>
    <row r="16" spans="1:6">
      <c r="A16" s="8"/>
      <c r="B16" s="16"/>
      <c r="C16" s="66"/>
      <c r="D16" s="67"/>
      <c r="E16" s="68"/>
    </row>
    <row r="17" spans="1:5">
      <c r="A17" s="39" t="s">
        <v>5</v>
      </c>
      <c r="B17" s="7"/>
      <c r="C17" s="72"/>
      <c r="D17" s="73"/>
      <c r="E17" s="74"/>
    </row>
    <row r="18" spans="1:5">
      <c r="A18" s="8" t="s">
        <v>20</v>
      </c>
      <c r="B18" s="16">
        <f>SUM(B7:B9)*0.35</f>
        <v>11171.3</v>
      </c>
      <c r="C18" s="75"/>
      <c r="D18" s="76"/>
      <c r="E18" s="77"/>
    </row>
    <row r="19" spans="1:5">
      <c r="A19" s="8" t="s">
        <v>17</v>
      </c>
      <c r="B19" s="16">
        <f>(B13)*0.277</f>
        <v>13503.750000000002</v>
      </c>
      <c r="C19" s="76"/>
      <c r="D19" s="76"/>
      <c r="E19" s="77"/>
    </row>
    <row r="20" spans="1:5">
      <c r="A20" s="8" t="s">
        <v>18</v>
      </c>
      <c r="B20" s="16">
        <f>(B14)*0.064</f>
        <v>2688</v>
      </c>
      <c r="C20" s="78"/>
      <c r="D20" s="78"/>
      <c r="E20" s="79"/>
    </row>
    <row r="21" spans="1:5">
      <c r="A21" s="19" t="s">
        <v>10</v>
      </c>
      <c r="B21" s="20">
        <f>SUM(B18:B20)</f>
        <v>27363.050000000003</v>
      </c>
      <c r="C21" s="49"/>
      <c r="D21" s="49"/>
      <c r="E21" s="50"/>
    </row>
    <row r="22" spans="1:5">
      <c r="A22" s="21" t="s">
        <v>6</v>
      </c>
      <c r="B22" s="22">
        <f>B10+B15+B21</f>
        <v>150031.04999999999</v>
      </c>
      <c r="C22" s="49"/>
      <c r="D22" s="49"/>
      <c r="E22" s="50"/>
    </row>
    <row r="23" spans="1:5">
      <c r="A23" s="10"/>
      <c r="B23" s="9"/>
      <c r="C23" s="78"/>
      <c r="D23" s="78"/>
      <c r="E23" s="79"/>
    </row>
    <row r="24" spans="1:5">
      <c r="A24" s="10"/>
      <c r="B24" s="23" t="s">
        <v>4</v>
      </c>
      <c r="C24" s="78"/>
      <c r="D24" s="78"/>
      <c r="E24" s="79"/>
    </row>
    <row r="25" spans="1:5">
      <c r="A25" s="40" t="s">
        <v>33</v>
      </c>
      <c r="B25" s="24">
        <v>3000</v>
      </c>
      <c r="C25" s="49"/>
      <c r="D25" s="49"/>
      <c r="E25" s="50"/>
    </row>
    <row r="26" spans="1:5">
      <c r="A26" s="10"/>
      <c r="B26" s="25"/>
      <c r="C26" s="78"/>
      <c r="D26" s="78"/>
      <c r="E26" s="79"/>
    </row>
    <row r="27" spans="1:5">
      <c r="A27" s="41" t="s">
        <v>7</v>
      </c>
      <c r="B27" s="26" t="s">
        <v>4</v>
      </c>
      <c r="C27" s="80"/>
      <c r="D27" s="81"/>
      <c r="E27" s="82"/>
    </row>
    <row r="28" spans="1:5">
      <c r="A28" s="42" t="s">
        <v>0</v>
      </c>
      <c r="B28" s="9">
        <v>7000</v>
      </c>
      <c r="C28" s="78"/>
      <c r="D28" s="78"/>
      <c r="E28" s="79"/>
    </row>
    <row r="29" spans="1:5">
      <c r="A29" s="42" t="s">
        <v>1</v>
      </c>
      <c r="B29" s="9">
        <v>4500</v>
      </c>
      <c r="C29" s="78"/>
      <c r="D29" s="78"/>
      <c r="E29" s="79"/>
    </row>
    <row r="30" spans="1:5">
      <c r="A30" s="27" t="s">
        <v>8</v>
      </c>
      <c r="B30" s="28">
        <f t="shared" ref="B30" si="0">SUM(B28:B29)</f>
        <v>11500</v>
      </c>
      <c r="C30" s="49"/>
      <c r="D30" s="49"/>
      <c r="E30" s="50"/>
    </row>
    <row r="31" spans="1:5">
      <c r="A31" s="10"/>
      <c r="B31" s="9"/>
      <c r="C31" s="78"/>
      <c r="D31" s="78"/>
      <c r="E31" s="79"/>
    </row>
    <row r="32" spans="1:5">
      <c r="A32" s="10"/>
      <c r="B32" s="9"/>
      <c r="C32" s="78"/>
      <c r="D32" s="78"/>
      <c r="E32" s="79"/>
    </row>
    <row r="33" spans="1:5">
      <c r="A33" s="29" t="s">
        <v>9</v>
      </c>
      <c r="B33" s="26" t="s">
        <v>4</v>
      </c>
      <c r="C33" s="49"/>
      <c r="D33" s="49"/>
      <c r="E33" s="50"/>
    </row>
    <row r="34" spans="1:5">
      <c r="A34" s="42" t="s">
        <v>22</v>
      </c>
      <c r="B34" s="30">
        <f>2*7336</f>
        <v>14672</v>
      </c>
      <c r="C34" s="78"/>
      <c r="D34" s="78"/>
      <c r="E34" s="79"/>
    </row>
    <row r="35" spans="1:5">
      <c r="A35" s="42" t="s">
        <v>32</v>
      </c>
      <c r="B35" s="31">
        <v>19000</v>
      </c>
      <c r="C35" s="78"/>
      <c r="D35" s="78" t="s">
        <v>29</v>
      </c>
      <c r="E35" s="79" t="s">
        <v>30</v>
      </c>
    </row>
    <row r="36" spans="1:5">
      <c r="A36" s="42" t="s">
        <v>21</v>
      </c>
      <c r="B36" s="31">
        <f>D36+E36</f>
        <v>172000</v>
      </c>
      <c r="C36" s="78"/>
      <c r="D36" s="78">
        <v>145000</v>
      </c>
      <c r="E36" s="79">
        <f>50000*0.54</f>
        <v>27000</v>
      </c>
    </row>
    <row r="37" spans="1:5">
      <c r="A37" s="27" t="s">
        <v>3</v>
      </c>
      <c r="B37" s="32">
        <f>SUM(B34:B36)</f>
        <v>205672</v>
      </c>
      <c r="C37" s="49"/>
      <c r="D37" s="49"/>
      <c r="E37" s="50"/>
    </row>
    <row r="38" spans="1:5">
      <c r="A38" s="10"/>
      <c r="B38" s="9"/>
      <c r="C38" s="78"/>
      <c r="D38" s="78"/>
      <c r="E38" s="79"/>
    </row>
    <row r="39" spans="1:5">
      <c r="A39" s="43"/>
      <c r="B39" s="33" t="s">
        <v>4</v>
      </c>
      <c r="C39" s="83"/>
      <c r="D39" s="83"/>
      <c r="E39" s="84"/>
    </row>
    <row r="40" spans="1:5">
      <c r="A40" s="44" t="s">
        <v>11</v>
      </c>
      <c r="B40" s="34">
        <f>B22+B25+B30+B37</f>
        <v>370203.05</v>
      </c>
      <c r="C40" s="49"/>
      <c r="D40" s="49"/>
      <c r="E40" s="50"/>
    </row>
    <row r="41" spans="1:5">
      <c r="A41" s="44" t="s">
        <v>31</v>
      </c>
      <c r="B41" s="34">
        <f>B40-B25-B34-(B36-50000)</f>
        <v>230531.05</v>
      </c>
      <c r="C41" s="49"/>
      <c r="D41" s="49"/>
      <c r="E41" s="50"/>
    </row>
    <row r="42" spans="1:5">
      <c r="A42" s="44" t="s">
        <v>27</v>
      </c>
      <c r="B42" s="34">
        <f>0.54*B41</f>
        <v>124486.76700000001</v>
      </c>
      <c r="C42" s="49"/>
      <c r="D42" s="49"/>
      <c r="E42" s="50"/>
    </row>
    <row r="43" spans="1:5">
      <c r="A43" s="10"/>
      <c r="B43" s="9"/>
      <c r="C43" s="78"/>
      <c r="D43" s="78"/>
      <c r="E43" s="79"/>
    </row>
    <row r="44" spans="1:5" ht="16" thickBot="1">
      <c r="A44" s="35" t="s">
        <v>2</v>
      </c>
      <c r="B44" s="36">
        <f>B40+B42</f>
        <v>494689.81699999998</v>
      </c>
      <c r="C44" s="85"/>
      <c r="D44" s="85"/>
      <c r="E44" s="86"/>
    </row>
  </sheetData>
  <mergeCells count="14">
    <mergeCell ref="C7:E7"/>
    <mergeCell ref="A6:B6"/>
    <mergeCell ref="A12:B12"/>
    <mergeCell ref="C27:E27"/>
    <mergeCell ref="A1:B1"/>
    <mergeCell ref="A2:B2"/>
    <mergeCell ref="A5:B5"/>
    <mergeCell ref="A17:B17"/>
    <mergeCell ref="C14:E14"/>
    <mergeCell ref="C16:E16"/>
    <mergeCell ref="C17:E17"/>
    <mergeCell ref="C5:E5"/>
    <mergeCell ref="C6:E6"/>
    <mergeCell ref="C12:E12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NHMFL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NHMFL</dc:creator>
  <cp:lastModifiedBy>Kourosh Shoele</cp:lastModifiedBy>
  <cp:lastPrinted>2012-10-11T14:11:49Z</cp:lastPrinted>
  <dcterms:created xsi:type="dcterms:W3CDTF">2011-10-17T21:11:03Z</dcterms:created>
  <dcterms:modified xsi:type="dcterms:W3CDTF">2026-04-12T23:07:17Z</dcterms:modified>
</cp:coreProperties>
</file>